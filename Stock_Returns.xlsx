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smu365-my.sharepoint.com/personal/lrwelch_smu_edu/Documents/"/>
    </mc:Choice>
  </mc:AlternateContent>
  <xr:revisionPtr revIDLastSave="409" documentId="8_{0C0D1161-825A-D947-81A0-8AC29822DEAF}" xr6:coauthVersionLast="47" xr6:coauthVersionMax="47" xr10:uidLastSave="{D4757103-6CA7-4012-A5CE-E0C31FECF84D}"/>
  <bookViews>
    <workbookView xWindow="12620" yWindow="500" windowWidth="16200" windowHeight="16020" firstSheet="1" xr2:uid="{7A3EABA1-FDE0-BB4B-BD11-512F31A2918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K60" i="1"/>
  <c r="J60" i="1"/>
  <c r="H60" i="1"/>
  <c r="G60" i="1"/>
  <c r="K82" i="1"/>
  <c r="C8" i="2"/>
  <c r="C7" i="2"/>
  <c r="C6" i="2"/>
  <c r="C5" i="2"/>
  <c r="C4" i="2"/>
  <c r="C3" i="2"/>
  <c r="K30" i="1"/>
  <c r="H30" i="1"/>
  <c r="J82" i="1"/>
  <c r="J24" i="1"/>
  <c r="J30" i="1" s="1"/>
  <c r="G82" i="1"/>
  <c r="H82" i="1"/>
</calcChain>
</file>

<file path=xl/sharedStrings.xml><?xml version="1.0" encoding="utf-8"?>
<sst xmlns="http://schemas.openxmlformats.org/spreadsheetml/2006/main" count="87" uniqueCount="76">
  <si>
    <t>Beta Range 0.0–0.5:</t>
  </si>
  <si>
    <t>NOTE: These are all 2 year returns</t>
  </si>
  <si>
    <t>+--------+-------------------------+------------------------+-------+</t>
  </si>
  <si>
    <t>STOCH Ret</t>
  </si>
  <si>
    <t>RSI Return</t>
  </si>
  <si>
    <t>ADJ RSI</t>
  </si>
  <si>
    <t>ADJ STOCH</t>
  </si>
  <si>
    <t>Stock Return</t>
  </si>
  <si>
    <t>| Symbol |        Security         |      GICS Sector       | Beta  |</t>
  </si>
  <si>
    <t>|  HAS   |         Hasbro          | Consumer Discretionary | 0.496 |</t>
  </si>
  <si>
    <t>|  MDLZ  | Mondelez International  |    Consumer Staples    | 0.481 |</t>
  </si>
  <si>
    <t>|  KMB   |     Kimberly-Clark      |    Consumer Staples    | 0.393 |</t>
  </si>
  <si>
    <t>|  ERIE  |     Erie Indemnity      |       Financials       | 0.46  |</t>
  </si>
  <si>
    <t>|   EG   |      Everest Group      |       Financials       | 0.429 |</t>
  </si>
  <si>
    <t>|  RTX   |     RTX Corporation     |      Industrials       | 0.263 |</t>
  </si>
  <si>
    <t>|  PGR   | Progressive Corporation |       Financials       | 0.382 |</t>
  </si>
  <si>
    <t>|  MRK   |       Merck &amp; Co.       |      Health Care       | 0.416 |</t>
  </si>
  <si>
    <t>Beta Range 0.5–1.0:</t>
  </si>
  <si>
    <t>+--------+---------------------------+------------------------+-------+</t>
  </si>
  <si>
    <t>| Symbol |         Security          |      GICS Sector       | Beta  |</t>
  </si>
  <si>
    <t>|   ES   |     Eversource Energy     |       Utilities        | 0.594 |</t>
  </si>
  <si>
    <t>|  SRE   |          Sempra           |       Utilities        | 0.664 |</t>
  </si>
  <si>
    <t>|   L    |     Loews Corporation     |       Financials       | 0.604 |</t>
  </si>
  <si>
    <t>|  TMO   | Thermo Fisher Scientific  |      Health Care       | 0.869 |</t>
  </si>
  <si>
    <t>|  ADP   | Automatic Data Processing |      Industrials       | 0.749 |</t>
  </si>
  <si>
    <t>|   FI   |          Fiserv           |       Financials       | 0.916 |</t>
  </si>
  <si>
    <t>|  FOXA  | Fox Corporation (Class A) | Communication Services | 0.52  |</t>
  </si>
  <si>
    <t>|  AVB   |   AvalonBay Communities   |      Real Estate       | 0.874 |</t>
  </si>
  <si>
    <t>AVERAGE</t>
  </si>
  <si>
    <t>Beta Range 1.0–1.5:</t>
  </si>
  <si>
    <t>+--------+----------------------------+------------------------+-------+</t>
  </si>
  <si>
    <t>| Symbol |          Security          |      GICS Sector       | Beta  |</t>
  </si>
  <si>
    <t>|  HPE   | Hewlett Packard Enterprise | Information Technology | 1.218 |</t>
  </si>
  <si>
    <t>|  HON   |         Honeywell          |      Industrials       | 1.002 |</t>
  </si>
  <si>
    <t>|  JBL   |           Jabil            | Information Technology | 1.121 |</t>
  </si>
  <si>
    <t>|  UNP   | Union Pacific Corporation  |      Industrials       | 1.059 |</t>
  </si>
  <si>
    <t>|  BBY   |          Best Buy          | Consumer Discretionary | 1.443 |</t>
  </si>
  <si>
    <t>|  UPS   |   United Parcel Service    |      Industrials       | 1.09  |</t>
  </si>
  <si>
    <t>|  AVGO  |          Broadcom          | Information Technology | 1.068 |</t>
  </si>
  <si>
    <t>|  ODFL  |        Old Dominion        |      Industrials       | 1.256 |</t>
  </si>
  <si>
    <t>Beta Range 1.5–2.0:</t>
  </si>
  <si>
    <t>+--------+-------------------+------------------------+-------+</t>
  </si>
  <si>
    <t>| Symbol |     Security      |      GICS Sector       | Beta  |</t>
  </si>
  <si>
    <t>|  TRMB  |   Trimble Inc.    | Information Technology | 1.576 |</t>
  </si>
  <si>
    <t>|  NUE   |       Nucor       |       Materials        | 1.68  |</t>
  </si>
  <si>
    <t>|  KMX   |      CarMax       | Consumer Discretionary | 1.586 |</t>
  </si>
  <si>
    <t>|  AMAT  | Applied Materials | Information Technology | 1.603 |</t>
  </si>
  <si>
    <t>|  EFX   |      Equifax      |      Industrials       | 1.651 |</t>
  </si>
  <si>
    <t>|  NFLX  |      Netflix      | Communication Services | 1.547 |</t>
  </si>
  <si>
    <t>|  DHI   |   D. R. Horton    | Consumer Discretionary | 1.617 |</t>
  </si>
  <si>
    <t>|  EPAM  |   EPAM Systems    | Information Technology | 1.69  |</t>
  </si>
  <si>
    <t>Beta Range 2.0–2.5:</t>
  </si>
  <si>
    <t>+--------+--------------------------------+------------------------+-------+</t>
  </si>
  <si>
    <t>| Symbol |            Security            |      GICS Sector       | Beta  |</t>
  </si>
  <si>
    <t>|  NCLH  | Norwegian Cruise Line Holdings | Consumer Discretionary | 2.274 |</t>
  </si>
  <si>
    <t>|  MRNA  |            Moderna             |      Health Care       | 2.233 |</t>
  </si>
  <si>
    <t>|  CCL   |            Carnival            | Consumer Discretionary | 2.422 |</t>
  </si>
  <si>
    <t>|  RCL   |     Royal Caribbean Group      | Consumer Discretionary | 2.271 |</t>
  </si>
  <si>
    <t>Beta Range 2.5–3.0:</t>
  </si>
  <si>
    <t>+--------+-----------------------+------------------------+-------+</t>
  </si>
  <si>
    <t>| Symbol |       Security        |      GICS Sector       | Beta  |</t>
  </si>
  <si>
    <t>|  PLTR  | Palantir Technologies | Information Technology | 2.741 |</t>
  </si>
  <si>
    <t>|  TSLA  |      Tesla, Inc.      | Consumer Discretionary | 2.58  |</t>
  </si>
  <si>
    <t>|  APA   |    APA Corporation    |         Energy         | 2.745 |</t>
  </si>
  <si>
    <t>|  CZR   | Caesars Entertainment | Consumer Discretionary | 2.675 |</t>
  </si>
  <si>
    <t>Data table</t>
  </si>
  <si>
    <t>Strategy</t>
  </si>
  <si>
    <t>Beta</t>
  </si>
  <si>
    <t>Efficient Return</t>
  </si>
  <si>
    <t>Actual Return</t>
  </si>
  <si>
    <t>Stochastic</t>
  </si>
  <si>
    <t>RSI</t>
  </si>
  <si>
    <t>Stochastic (beta&lt;1)</t>
  </si>
  <si>
    <t>RSI (beta&lt;1)</t>
  </si>
  <si>
    <t>Stochastic (1&lt;beta&lt;2)</t>
  </si>
  <si>
    <t>RSI (1&lt;beta&lt;2)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</si>
</sst>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555BE8-FA26-7A44-AC5C-E0592D4658CA}" name="Table2" displayName="Table2" ref="A2:D8" totalsRowShown="0">
  <autoFilter ref="A2:D8" xr:uid="{DA555BE8-FA26-7A44-AC5C-E0592D4658CA}">
    <filterColumn colId="0" hiddenButton="1"/>
    <filterColumn colId="1" hiddenButton="1"/>
    <filterColumn colId="2" hiddenButton="1"/>
    <filterColumn colId="3" hiddenButton="1"/>
  </autoFilter>
  <tableColumns count="4">
    <tableColumn id="1" xr3:uid="{BCEF3E4F-86B8-F548-983F-0ED723CF28FF}" name="Strategy"/>
    <tableColumn id="2" xr3:uid="{7EAA0DCB-4A16-1B41-B182-6F46E8E95BB8}" name="Beta"/>
    <tableColumn id="3" xr3:uid="{F990A455-D0B7-3F45-982A-D35E236E5F63}" name="Efficient Return"/>
    <tableColumn id="4" xr3:uid="{D64F5278-3C76-D042-B74B-AE00609345FF}" name="Actual Retur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7A70-6B5D-6246-964E-A5457343331F}">
  <dimension ref="A1:O82"/>
  <sheetViews>
    <sheetView tabSelected="1" zoomScaleNormal="100" workbookViewId="0">
      <selection activeCell="N7" sqref="N7"/>
    </sheetView>
  </sheetViews>
  <sheetFormatPr defaultColWidth="11" defaultRowHeight="15.95"/>
  <sheetData>
    <row r="1" spans="1:15" ht="18">
      <c r="A1" s="1" t="s">
        <v>0</v>
      </c>
    </row>
    <row r="2" spans="1:15">
      <c r="G2" t="s">
        <v>1</v>
      </c>
    </row>
    <row r="3" spans="1:15" ht="18">
      <c r="A3" s="1" t="s">
        <v>2</v>
      </c>
      <c r="G3" t="s">
        <v>3</v>
      </c>
      <c r="H3" t="s">
        <v>4</v>
      </c>
      <c r="J3" t="s">
        <v>5</v>
      </c>
      <c r="K3" t="s">
        <v>6</v>
      </c>
      <c r="L3" t="s">
        <v>7</v>
      </c>
    </row>
    <row r="4" spans="1:15" ht="18">
      <c r="A4" s="1" t="s">
        <v>8</v>
      </c>
    </row>
    <row r="5" spans="1:15" ht="18">
      <c r="A5" s="1" t="s">
        <v>2</v>
      </c>
    </row>
    <row r="6" spans="1:15" ht="18">
      <c r="A6" s="1" t="s">
        <v>9</v>
      </c>
      <c r="G6">
        <v>-2.13</v>
      </c>
      <c r="H6">
        <v>-11.74</v>
      </c>
      <c r="J6">
        <v>-2.33</v>
      </c>
      <c r="K6">
        <v>3.37</v>
      </c>
      <c r="L6">
        <v>-0.48</v>
      </c>
      <c r="O6" s="6"/>
    </row>
    <row r="7" spans="1:15" ht="18">
      <c r="A7" s="1" t="s">
        <v>10</v>
      </c>
      <c r="G7">
        <v>-3.27</v>
      </c>
      <c r="H7">
        <v>-7.36</v>
      </c>
      <c r="J7">
        <v>-12.55</v>
      </c>
      <c r="K7">
        <v>-6.55</v>
      </c>
      <c r="L7">
        <v>-5.26</v>
      </c>
      <c r="O7" s="5"/>
    </row>
    <row r="8" spans="1:15" ht="18">
      <c r="A8" s="1" t="s">
        <v>11</v>
      </c>
      <c r="G8">
        <v>3.65</v>
      </c>
      <c r="H8">
        <v>-3.17</v>
      </c>
      <c r="J8">
        <v>9.5399999999999991</v>
      </c>
      <c r="K8">
        <v>5.13</v>
      </c>
      <c r="L8">
        <v>2.84</v>
      </c>
    </row>
    <row r="9" spans="1:15" ht="18">
      <c r="A9" s="1" t="s">
        <v>12</v>
      </c>
      <c r="G9">
        <v>-0.08</v>
      </c>
      <c r="H9">
        <v>2.04</v>
      </c>
      <c r="J9">
        <v>0.38</v>
      </c>
      <c r="K9">
        <v>-10.88</v>
      </c>
      <c r="L9">
        <v>74.22</v>
      </c>
    </row>
    <row r="10" spans="1:15" ht="18">
      <c r="A10" s="1" t="s">
        <v>13</v>
      </c>
      <c r="G10">
        <v>23.12</v>
      </c>
      <c r="H10">
        <v>14.83</v>
      </c>
      <c r="J10">
        <v>9.8800000000000008</v>
      </c>
      <c r="K10">
        <v>16.82</v>
      </c>
      <c r="L10">
        <v>12.95</v>
      </c>
    </row>
    <row r="11" spans="1:15" ht="18">
      <c r="A11" s="1" t="s">
        <v>14</v>
      </c>
      <c r="G11">
        <v>8.0500000000000007</v>
      </c>
      <c r="H11">
        <v>10.07</v>
      </c>
      <c r="J11">
        <v>3.92</v>
      </c>
      <c r="K11">
        <v>3.01</v>
      </c>
      <c r="L11">
        <v>20.57</v>
      </c>
    </row>
    <row r="12" spans="1:15" ht="18">
      <c r="A12" s="1" t="s">
        <v>15</v>
      </c>
      <c r="G12">
        <v>7</v>
      </c>
      <c r="H12">
        <v>12.13</v>
      </c>
      <c r="J12">
        <v>11.51</v>
      </c>
      <c r="K12">
        <v>9.59</v>
      </c>
      <c r="L12">
        <v>85.83</v>
      </c>
    </row>
    <row r="13" spans="1:15" ht="18">
      <c r="A13" s="1" t="s">
        <v>16</v>
      </c>
      <c r="G13">
        <v>7.84</v>
      </c>
      <c r="H13">
        <v>11.34</v>
      </c>
      <c r="J13">
        <v>1.4</v>
      </c>
      <c r="K13">
        <v>10.01</v>
      </c>
      <c r="L13">
        <v>-5.47</v>
      </c>
    </row>
    <row r="14" spans="1:15" ht="18">
      <c r="A14" s="1" t="s">
        <v>2</v>
      </c>
    </row>
    <row r="16" spans="1:15" ht="18">
      <c r="A16" s="1" t="s">
        <v>17</v>
      </c>
    </row>
    <row r="18" spans="1:12" ht="18">
      <c r="A18" s="1" t="s">
        <v>18</v>
      </c>
    </row>
    <row r="19" spans="1:12" ht="18">
      <c r="A19" s="1" t="s">
        <v>19</v>
      </c>
    </row>
    <row r="20" spans="1:12" ht="18">
      <c r="A20" s="1" t="s">
        <v>18</v>
      </c>
    </row>
    <row r="21" spans="1:12" ht="18">
      <c r="A21" s="1" t="s">
        <v>20</v>
      </c>
      <c r="G21">
        <v>3.43</v>
      </c>
      <c r="H21">
        <v>-4.43</v>
      </c>
      <c r="J21">
        <v>-4.9000000000000004</v>
      </c>
      <c r="K21">
        <v>-0.89</v>
      </c>
      <c r="L21">
        <v>-25.65</v>
      </c>
    </row>
    <row r="22" spans="1:12" ht="18">
      <c r="A22" s="1" t="s">
        <v>21</v>
      </c>
      <c r="G22">
        <v>17.600000000000001</v>
      </c>
      <c r="H22">
        <v>4.8600000000000003</v>
      </c>
      <c r="J22">
        <v>17.690000000000001</v>
      </c>
      <c r="K22">
        <v>10.89</v>
      </c>
      <c r="L22">
        <v>21.69</v>
      </c>
    </row>
    <row r="23" spans="1:12" ht="18">
      <c r="A23" s="1" t="s">
        <v>22</v>
      </c>
      <c r="G23">
        <v>14.98</v>
      </c>
      <c r="H23">
        <v>17.3</v>
      </c>
      <c r="J23">
        <v>20.7</v>
      </c>
      <c r="K23">
        <v>22.12</v>
      </c>
      <c r="L23">
        <v>45.6</v>
      </c>
    </row>
    <row r="24" spans="1:12" ht="18">
      <c r="A24" s="1" t="s">
        <v>23</v>
      </c>
      <c r="G24">
        <v>1.45</v>
      </c>
      <c r="H24">
        <v>-6.51</v>
      </c>
      <c r="J24">
        <f>7</f>
        <v>7</v>
      </c>
      <c r="K24">
        <v>-3.48</v>
      </c>
      <c r="L24">
        <v>-5.45</v>
      </c>
    </row>
    <row r="25" spans="1:12" ht="18">
      <c r="A25" s="1" t="s">
        <v>24</v>
      </c>
      <c r="G25">
        <v>6.07</v>
      </c>
      <c r="H25">
        <v>8.73</v>
      </c>
      <c r="J25">
        <v>14.24</v>
      </c>
      <c r="K25">
        <v>6.13</v>
      </c>
      <c r="L25">
        <v>28.74</v>
      </c>
    </row>
    <row r="26" spans="1:12" ht="18">
      <c r="A26" s="1" t="s">
        <v>25</v>
      </c>
      <c r="G26">
        <v>7.28</v>
      </c>
      <c r="H26">
        <v>6.49</v>
      </c>
      <c r="J26">
        <v>10.81</v>
      </c>
      <c r="K26">
        <v>11.4</v>
      </c>
      <c r="L26">
        <v>102.96</v>
      </c>
    </row>
    <row r="27" spans="1:12" ht="18">
      <c r="A27" s="1" t="s">
        <v>26</v>
      </c>
      <c r="G27">
        <v>1.1100000000000001</v>
      </c>
      <c r="H27">
        <v>-0.98</v>
      </c>
      <c r="J27">
        <v>7.9</v>
      </c>
      <c r="K27">
        <v>5.95</v>
      </c>
      <c r="L27">
        <v>65.47</v>
      </c>
    </row>
    <row r="28" spans="1:12" ht="18">
      <c r="A28" s="1" t="s">
        <v>27</v>
      </c>
      <c r="G28">
        <v>6.58</v>
      </c>
      <c r="H28">
        <v>9.18</v>
      </c>
      <c r="J28">
        <v>4.49</v>
      </c>
      <c r="K28">
        <v>1.17</v>
      </c>
      <c r="L28">
        <v>46.16</v>
      </c>
    </row>
    <row r="29" spans="1:12" ht="18">
      <c r="A29" s="1" t="s">
        <v>18</v>
      </c>
    </row>
    <row r="30" spans="1:12">
      <c r="F30" s="2" t="s">
        <v>28</v>
      </c>
      <c r="G30" s="3">
        <f>AVERAGE(G6:G29)</f>
        <v>6.4175000000000004</v>
      </c>
      <c r="H30" s="3">
        <f>AVERAGE(H6:H28)</f>
        <v>3.9237500000000005</v>
      </c>
      <c r="I30" s="3"/>
      <c r="J30" s="3">
        <f>AVERAGE(J6:J28)</f>
        <v>6.23</v>
      </c>
      <c r="K30" s="3">
        <f>AVERAGE(K6:K28)</f>
        <v>5.2368750000000013</v>
      </c>
    </row>
    <row r="31" spans="1:12" ht="18">
      <c r="A31" s="1" t="s">
        <v>29</v>
      </c>
    </row>
    <row r="33" spans="1:12" ht="18">
      <c r="A33" s="1" t="s">
        <v>30</v>
      </c>
    </row>
    <row r="34" spans="1:12" ht="18">
      <c r="A34" s="1" t="s">
        <v>31</v>
      </c>
    </row>
    <row r="35" spans="1:12" ht="18">
      <c r="A35" s="1" t="s">
        <v>30</v>
      </c>
    </row>
    <row r="36" spans="1:12" ht="18">
      <c r="A36" s="1" t="s">
        <v>32</v>
      </c>
      <c r="G36">
        <v>30.88</v>
      </c>
      <c r="H36">
        <v>23.69</v>
      </c>
      <c r="J36">
        <v>33.26</v>
      </c>
      <c r="K36">
        <v>30.38</v>
      </c>
      <c r="L36">
        <v>40.799999999999997</v>
      </c>
    </row>
    <row r="37" spans="1:12" ht="18">
      <c r="A37" s="1" t="s">
        <v>33</v>
      </c>
      <c r="G37">
        <v>12.13</v>
      </c>
      <c r="H37">
        <v>7.79</v>
      </c>
      <c r="J37">
        <v>4.0599999999999996</v>
      </c>
      <c r="K37">
        <v>14.12</v>
      </c>
      <c r="L37">
        <v>10.039999999999999</v>
      </c>
    </row>
    <row r="38" spans="1:12" ht="18">
      <c r="A38" s="1" t="s">
        <v>34</v>
      </c>
      <c r="G38">
        <v>33.340000000000003</v>
      </c>
      <c r="H38">
        <v>31.48</v>
      </c>
      <c r="J38">
        <v>24.32</v>
      </c>
      <c r="K38">
        <v>33.07</v>
      </c>
      <c r="L38">
        <v>115.49</v>
      </c>
    </row>
    <row r="39" spans="1:12" ht="18">
      <c r="A39" s="1" t="s">
        <v>35</v>
      </c>
      <c r="G39">
        <v>7.39</v>
      </c>
      <c r="H39">
        <v>2.76</v>
      </c>
      <c r="J39">
        <v>3.66</v>
      </c>
      <c r="K39">
        <v>10.039999999999999</v>
      </c>
      <c r="L39">
        <v>15.12</v>
      </c>
    </row>
    <row r="40" spans="1:12" ht="18">
      <c r="A40" s="1" t="s">
        <v>36</v>
      </c>
      <c r="G40">
        <v>3.21</v>
      </c>
      <c r="H40">
        <v>8.84</v>
      </c>
      <c r="J40">
        <v>5.95</v>
      </c>
      <c r="K40">
        <v>-1.93</v>
      </c>
      <c r="L40">
        <v>16.93</v>
      </c>
    </row>
    <row r="41" spans="1:12" ht="18">
      <c r="A41" s="1" t="s">
        <v>37</v>
      </c>
      <c r="G41">
        <v>-0.27</v>
      </c>
      <c r="H41">
        <v>10.64</v>
      </c>
      <c r="J41">
        <v>4</v>
      </c>
      <c r="K41">
        <v>-1.05</v>
      </c>
      <c r="L41">
        <v>-21.59</v>
      </c>
    </row>
    <row r="42" spans="1:12" ht="18">
      <c r="A42" s="1" t="s">
        <v>38</v>
      </c>
      <c r="G42">
        <v>62.62</v>
      </c>
      <c r="H42">
        <v>43.48</v>
      </c>
      <c r="J42">
        <v>37</v>
      </c>
      <c r="K42">
        <v>62.3</v>
      </c>
      <c r="L42">
        <v>334.18</v>
      </c>
    </row>
    <row r="43" spans="1:12" ht="18">
      <c r="A43" s="1" t="s">
        <v>39</v>
      </c>
      <c r="G43">
        <v>30.46</v>
      </c>
      <c r="H43">
        <v>13.56</v>
      </c>
      <c r="L43">
        <v>26.07</v>
      </c>
    </row>
    <row r="44" spans="1:12" ht="18">
      <c r="A44" s="1" t="s">
        <v>30</v>
      </c>
    </row>
    <row r="45" spans="1:12">
      <c r="G45" s="3"/>
      <c r="H45" s="3"/>
      <c r="I45" s="3"/>
      <c r="J45" s="3"/>
    </row>
    <row r="46" spans="1:12" ht="18">
      <c r="A46" s="1" t="s">
        <v>40</v>
      </c>
    </row>
    <row r="48" spans="1:12" ht="18">
      <c r="A48" s="1" t="s">
        <v>41</v>
      </c>
    </row>
    <row r="49" spans="1:12" ht="18">
      <c r="A49" s="1" t="s">
        <v>42</v>
      </c>
    </row>
    <row r="50" spans="1:12" ht="18">
      <c r="A50" s="1" t="s">
        <v>41</v>
      </c>
    </row>
    <row r="51" spans="1:12" ht="18">
      <c r="A51" s="1" t="s">
        <v>43</v>
      </c>
      <c r="G51">
        <v>4.59</v>
      </c>
      <c r="H51">
        <v>1.48</v>
      </c>
      <c r="J51">
        <v>0.48</v>
      </c>
      <c r="K51">
        <v>-2.06</v>
      </c>
      <c r="L51">
        <v>39.64</v>
      </c>
    </row>
    <row r="52" spans="1:12" ht="18">
      <c r="A52" s="1" t="s">
        <v>44</v>
      </c>
      <c r="G52">
        <v>-7.04</v>
      </c>
      <c r="H52">
        <v>-3.08</v>
      </c>
      <c r="J52">
        <v>-8.7100000000000009</v>
      </c>
      <c r="K52">
        <v>-5.43</v>
      </c>
      <c r="L52">
        <v>-8.4600000000000009</v>
      </c>
    </row>
    <row r="53" spans="1:12" ht="18">
      <c r="A53" s="1" t="s">
        <v>45</v>
      </c>
      <c r="G53">
        <v>14.45</v>
      </c>
      <c r="H53">
        <v>8.9700000000000006</v>
      </c>
      <c r="J53">
        <v>26.17</v>
      </c>
      <c r="K53">
        <v>10.94</v>
      </c>
      <c r="L53">
        <v>34.83</v>
      </c>
    </row>
    <row r="54" spans="1:12" ht="18">
      <c r="A54" s="1" t="s">
        <v>46</v>
      </c>
      <c r="G54">
        <v>33.549999999999997</v>
      </c>
      <c r="H54">
        <v>22.36</v>
      </c>
      <c r="J54">
        <v>6.6</v>
      </c>
      <c r="K54">
        <v>30.82</v>
      </c>
      <c r="L54">
        <v>71.010000000000005</v>
      </c>
    </row>
    <row r="55" spans="1:12" ht="18">
      <c r="A55" s="1" t="s">
        <v>47</v>
      </c>
      <c r="G55">
        <v>-2.2799999999999998</v>
      </c>
      <c r="H55">
        <v>3.88</v>
      </c>
      <c r="J55">
        <v>1.7</v>
      </c>
      <c r="K55">
        <v>-7.68</v>
      </c>
      <c r="L55">
        <v>30.24</v>
      </c>
    </row>
    <row r="56" spans="1:12" ht="18">
      <c r="A56" s="1" t="s">
        <v>48</v>
      </c>
      <c r="G56">
        <v>16.850000000000001</v>
      </c>
      <c r="H56">
        <v>28.76</v>
      </c>
      <c r="J56">
        <v>12.81</v>
      </c>
      <c r="K56">
        <v>21.31</v>
      </c>
      <c r="L56">
        <v>202.19</v>
      </c>
    </row>
    <row r="57" spans="1:12" ht="18">
      <c r="A57" s="1" t="s">
        <v>49</v>
      </c>
      <c r="G57">
        <v>-1.53</v>
      </c>
      <c r="H57">
        <v>2.39</v>
      </c>
      <c r="J57">
        <v>1.9</v>
      </c>
      <c r="K57">
        <v>0.72</v>
      </c>
      <c r="L57">
        <v>56.9</v>
      </c>
    </row>
    <row r="58" spans="1:12" ht="18">
      <c r="A58" s="1" t="s">
        <v>50</v>
      </c>
      <c r="G58">
        <v>-9.19</v>
      </c>
      <c r="H58">
        <v>-20.100000000000001</v>
      </c>
      <c r="J58">
        <v>-13</v>
      </c>
      <c r="K58">
        <v>-4.7</v>
      </c>
      <c r="L58">
        <v>-29.45</v>
      </c>
    </row>
    <row r="59" spans="1:12" ht="18">
      <c r="A59" s="1" t="s">
        <v>41</v>
      </c>
    </row>
    <row r="60" spans="1:12">
      <c r="G60" s="3">
        <f>AVERAGE(G36:G58)</f>
        <v>14.3225</v>
      </c>
      <c r="H60" s="3">
        <f>AVERAGE(H36:H58)</f>
        <v>11.681249999999997</v>
      </c>
      <c r="I60" s="3"/>
      <c r="J60" s="3">
        <f>AVERAGE(J36:J58)</f>
        <v>9.3466666666666658</v>
      </c>
      <c r="K60" s="3">
        <f>AVERAGE(K36:K58)</f>
        <v>12.723333333333331</v>
      </c>
    </row>
    <row r="61" spans="1:12" ht="18">
      <c r="A61" s="1" t="s">
        <v>51</v>
      </c>
    </row>
    <row r="63" spans="1:12" ht="18">
      <c r="A63" s="1" t="s">
        <v>52</v>
      </c>
    </row>
    <row r="64" spans="1:12" ht="18">
      <c r="A64" s="1" t="s">
        <v>53</v>
      </c>
    </row>
    <row r="65" spans="1:12" ht="18">
      <c r="A65" s="1" t="s">
        <v>52</v>
      </c>
    </row>
    <row r="66" spans="1:12" ht="18">
      <c r="A66" s="1" t="s">
        <v>54</v>
      </c>
      <c r="G66">
        <v>-6.2</v>
      </c>
      <c r="H66">
        <v>11.15</v>
      </c>
      <c r="J66">
        <v>16.82</v>
      </c>
      <c r="K66">
        <v>-0.76</v>
      </c>
      <c r="L66">
        <v>116.95</v>
      </c>
    </row>
    <row r="67" spans="1:12" ht="18">
      <c r="A67" s="1" t="s">
        <v>55</v>
      </c>
      <c r="G67">
        <v>-46.92</v>
      </c>
      <c r="H67">
        <v>-49.86</v>
      </c>
      <c r="J67">
        <v>-50</v>
      </c>
      <c r="K67">
        <v>-43</v>
      </c>
      <c r="L67">
        <v>-76.77</v>
      </c>
    </row>
    <row r="68" spans="1:12" ht="18">
      <c r="A68" s="1" t="s">
        <v>56</v>
      </c>
      <c r="G68">
        <v>-9.2200000000000006</v>
      </c>
      <c r="H68">
        <v>9.9600000000000009</v>
      </c>
      <c r="J68">
        <v>9.75</v>
      </c>
      <c r="K68">
        <v>-11.67</v>
      </c>
      <c r="L68">
        <v>212.67</v>
      </c>
    </row>
    <row r="69" spans="1:12" ht="18">
      <c r="A69" s="1" t="s">
        <v>57</v>
      </c>
      <c r="G69">
        <v>14.31</v>
      </c>
      <c r="H69">
        <v>15.45</v>
      </c>
      <c r="J69">
        <v>34</v>
      </c>
      <c r="K69">
        <v>18.07</v>
      </c>
      <c r="L69">
        <v>375.81</v>
      </c>
    </row>
    <row r="70" spans="1:12" ht="18">
      <c r="A70" s="1" t="s">
        <v>52</v>
      </c>
    </row>
    <row r="72" spans="1:12" ht="18">
      <c r="A72" s="1" t="s">
        <v>58</v>
      </c>
    </row>
    <row r="74" spans="1:12" ht="18">
      <c r="A74" s="1" t="s">
        <v>59</v>
      </c>
    </row>
    <row r="75" spans="1:12" ht="18">
      <c r="A75" s="1" t="s">
        <v>60</v>
      </c>
    </row>
    <row r="76" spans="1:12" ht="18">
      <c r="A76" s="1" t="s">
        <v>59</v>
      </c>
    </row>
    <row r="77" spans="1:12" ht="18">
      <c r="A77" s="1" t="s">
        <v>61</v>
      </c>
      <c r="G77">
        <v>79.94</v>
      </c>
      <c r="H77">
        <v>107.7</v>
      </c>
      <c r="J77">
        <v>131</v>
      </c>
      <c r="K77">
        <v>90.8</v>
      </c>
      <c r="L77">
        <v>1083.57</v>
      </c>
    </row>
    <row r="78" spans="1:12" ht="18">
      <c r="A78" s="1" t="s">
        <v>62</v>
      </c>
      <c r="G78">
        <v>19.86</v>
      </c>
      <c r="H78">
        <v>64.81</v>
      </c>
      <c r="J78">
        <v>131</v>
      </c>
      <c r="K78">
        <v>45</v>
      </c>
      <c r="L78">
        <v>273.58</v>
      </c>
    </row>
    <row r="79" spans="1:12" ht="18">
      <c r="A79" s="1" t="s">
        <v>63</v>
      </c>
      <c r="G79">
        <v>-7.59</v>
      </c>
      <c r="H79">
        <v>-2.21</v>
      </c>
      <c r="J79">
        <v>-6</v>
      </c>
      <c r="K79">
        <v>-0.65</v>
      </c>
      <c r="L79">
        <v>-43.89</v>
      </c>
    </row>
    <row r="80" spans="1:12" ht="18">
      <c r="A80" s="1" t="s">
        <v>64</v>
      </c>
      <c r="G80">
        <v>-3.86</v>
      </c>
      <c r="H80">
        <v>-9.06</v>
      </c>
      <c r="J80">
        <v>2.81</v>
      </c>
      <c r="K80">
        <v>-7.46</v>
      </c>
      <c r="L80">
        <v>-20.92</v>
      </c>
    </row>
    <row r="82" spans="7:11">
      <c r="G82" s="3">
        <f>AVERAGE(G66:G80)</f>
        <v>5.0399999999999991</v>
      </c>
      <c r="H82" s="3">
        <f>AVERAGE(H66:H80)</f>
        <v>18.4925</v>
      </c>
      <c r="I82" s="3"/>
      <c r="J82" s="3">
        <f>AVERAGE(J66:J80)</f>
        <v>33.672499999999999</v>
      </c>
      <c r="K82" s="3">
        <f>AVERAGE(K66:K80)</f>
        <v>11.29125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D085-669B-024B-8E88-E661D0D3EACF}">
  <dimension ref="A1:D8"/>
  <sheetViews>
    <sheetView workbookViewId="0">
      <selection activeCell="F20" sqref="F20"/>
    </sheetView>
  </sheetViews>
  <sheetFormatPr defaultColWidth="11" defaultRowHeight="15.95"/>
  <cols>
    <col min="1" max="1" width="21.375" customWidth="1"/>
    <col min="3" max="3" width="16.875" customWidth="1"/>
    <col min="4" max="4" width="14.5" customWidth="1"/>
  </cols>
  <sheetData>
    <row r="1" spans="1:4">
      <c r="A1" s="4" t="s">
        <v>65</v>
      </c>
      <c r="B1" s="4"/>
      <c r="C1" s="4"/>
      <c r="D1" s="4"/>
    </row>
    <row r="2" spans="1:4">
      <c r="A2" t="s">
        <v>66</v>
      </c>
      <c r="B2" t="s">
        <v>67</v>
      </c>
      <c r="C2" t="s">
        <v>68</v>
      </c>
      <c r="D2" t="s">
        <v>69</v>
      </c>
    </row>
    <row r="3" spans="1:4">
      <c r="A3" t="s">
        <v>70</v>
      </c>
      <c r="B3">
        <v>0.16081000000000001</v>
      </c>
      <c r="C3">
        <f>4.5 + (B3*(44.277))</f>
        <v>11.62018437</v>
      </c>
      <c r="D3">
        <v>8.8593499999999992</v>
      </c>
    </row>
    <row r="4" spans="1:4">
      <c r="A4" t="s">
        <v>71</v>
      </c>
      <c r="B4">
        <v>0.12129</v>
      </c>
      <c r="C4">
        <f>4.5 + (B4*(44.277))</f>
        <v>9.8703573300000009</v>
      </c>
      <c r="D4">
        <v>7.7380599999999999</v>
      </c>
    </row>
    <row r="5" spans="1:4">
      <c r="A5" t="s">
        <v>72</v>
      </c>
      <c r="B5">
        <v>0.10203</v>
      </c>
      <c r="C5">
        <f>4.5 + (B5*(27.904))</f>
        <v>7.3470451199999998</v>
      </c>
      <c r="D5">
        <v>6.4059999999999997</v>
      </c>
    </row>
    <row r="6" spans="1:4">
      <c r="A6" t="s">
        <v>73</v>
      </c>
      <c r="B6">
        <v>0.14671999999999999</v>
      </c>
      <c r="C6">
        <f>4.5 + (B6*(27.904))</f>
        <v>8.5940748800000009</v>
      </c>
      <c r="D6">
        <v>6.3460000000000001</v>
      </c>
    </row>
    <row r="7" spans="1:4">
      <c r="A7" t="s">
        <v>74</v>
      </c>
      <c r="B7">
        <v>0.18160000000000001</v>
      </c>
      <c r="C7">
        <f>4.5 + (B7*(66.9514))</f>
        <v>16.658374240000001</v>
      </c>
      <c r="D7">
        <v>14.8492</v>
      </c>
    </row>
    <row r="8" spans="1:4">
      <c r="A8" t="s">
        <v>75</v>
      </c>
      <c r="B8">
        <v>0.11545999999999999</v>
      </c>
      <c r="C8">
        <f>4.5 + (B8*(66.9514))</f>
        <v>12.230208644000001</v>
      </c>
      <c r="D8">
        <v>10.94285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WELCH, LUKE</dc:creator>
  <cp:keywords/>
  <dc:description/>
  <cp:lastModifiedBy>Gutierrez, Miguel</cp:lastModifiedBy>
  <cp:revision/>
  <dcterms:created xsi:type="dcterms:W3CDTF">2025-04-28T19:29:13Z</dcterms:created>
  <dcterms:modified xsi:type="dcterms:W3CDTF">2025-04-30T20:36:44Z</dcterms:modified>
  <cp:category/>
  <cp:contentStatus/>
</cp:coreProperties>
</file>